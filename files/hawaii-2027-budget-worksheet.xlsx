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dging" sheetId="1" state="visible" r:id="rId1"/>
    <sheet xmlns:r="http://schemas.openxmlformats.org/officeDocument/2006/relationships" name="Trip Costs" sheetId="2" state="visible" r:id="rId2"/>
    <sheet xmlns:r="http://schemas.openxmlformats.org/officeDocument/2006/relationships" name="Reserv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&quot;$&quot;#,##0.00"/>
    <numFmt numFmtId="166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666666"/>
      <sz val="9"/>
    </font>
    <font>
      <b val="1"/>
      <sz val="13"/>
    </font>
    <font>
      <i val="1"/>
      <color rgb="00888888"/>
      <sz val="9"/>
    </font>
    <font>
      <b val="1"/>
      <sz val="10"/>
    </font>
    <font>
      <i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5" fontId="4" fillId="4" borderId="0" pivotButton="0" quotePrefix="0" xfId="0"/>
    <xf numFmtId="0" fontId="0" fillId="0" borderId="1" pivotButton="0" quotePrefix="0" xfId="0"/>
    <xf numFmtId="0" fontId="0" fillId="5" borderId="1" pivotButton="0" quotePrefix="0" xfId="0"/>
    <xf numFmtId="166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4" customWidth="1" min="3" max="3"/>
    <col width="14" customWidth="1" min="4" max="4"/>
    <col width="11" customWidth="1" min="5" max="5"/>
    <col width="13" customWidth="1" min="6" max="6"/>
    <col width="14" customWidth="1" min="7" max="7"/>
  </cols>
  <sheetData>
    <row r="1" ht="28" customHeight="1">
      <c r="A1" s="1" t="inlineStr">
        <is>
          <t>Item</t>
        </is>
      </c>
      <c r="B1" s="1" t="inlineStr">
        <is>
          <t>Nights</t>
        </is>
      </c>
      <c r="C1" s="1" t="inlineStr">
        <is>
          <t>Rate / night</t>
        </is>
      </c>
      <c r="D1" s="1" t="inlineStr">
        <is>
          <t>Subtotal</t>
        </is>
      </c>
      <c r="E1" s="1" t="inlineStr">
        <is>
          <t>Tax rate</t>
        </is>
      </c>
      <c r="F1" s="1" t="inlineStr">
        <is>
          <t>Tax</t>
        </is>
      </c>
      <c r="G1" s="1" t="inlineStr">
        <is>
          <t>Total</t>
        </is>
      </c>
    </row>
    <row r="2">
      <c r="A2" t="inlineStr">
        <is>
          <t>Room</t>
        </is>
      </c>
      <c r="B2" t="n">
        <v>7</v>
      </c>
      <c r="C2" s="2" t="n">
        <v>300</v>
      </c>
      <c r="D2" s="2">
        <f>B2*C2</f>
        <v/>
      </c>
      <c r="E2" s="3" t="n">
        <v>0.18712</v>
      </c>
      <c r="F2" s="2">
        <f>D2*E2</f>
        <v/>
      </c>
      <c r="G2" s="2">
        <f>D2+F2</f>
        <v/>
      </c>
    </row>
    <row r="3">
      <c r="A3" t="inlineStr">
        <is>
          <t>Resort fee</t>
        </is>
      </c>
      <c r="B3" t="n">
        <v>7</v>
      </c>
      <c r="C3" s="2" t="n">
        <v>45</v>
      </c>
      <c r="D3" s="2">
        <f>B3*C3</f>
        <v/>
      </c>
      <c r="E3" s="3" t="n">
        <v>0.18712</v>
      </c>
      <c r="F3" s="2">
        <f>D3*E3</f>
        <v/>
      </c>
      <c r="G3" s="2">
        <f>D3+F3</f>
        <v/>
      </c>
    </row>
    <row r="4">
      <c r="A4" t="inlineStr">
        <is>
          <t>Parking</t>
        </is>
      </c>
      <c r="B4" t="n">
        <v>7</v>
      </c>
      <c r="C4" s="2" t="n">
        <v>40</v>
      </c>
      <c r="D4" s="2">
        <f>B4*C4</f>
        <v/>
      </c>
      <c r="E4" s="3" t="n">
        <v>0.04712</v>
      </c>
      <c r="F4" s="2">
        <f>D4*E4</f>
        <v/>
      </c>
      <c r="G4" s="2">
        <f>D4+F4</f>
        <v/>
      </c>
    </row>
    <row r="6">
      <c r="A6" s="4" t="inlineStr">
        <is>
          <t>LODGING TOTAL</t>
        </is>
      </c>
      <c r="G6" s="5">
        <f>SUM(G2:G4)</f>
        <v/>
      </c>
    </row>
    <row r="8">
      <c r="A8" s="6" t="inlineStr">
        <is>
          <t>State TAT 11% + county 3% + GET 4.712% = 18.712% on lodging.</t>
        </is>
      </c>
    </row>
    <row r="9">
      <c r="A9" s="6" t="inlineStr">
        <is>
          <t>Parking is usually GET only. Verify with your property.</t>
        </is>
      </c>
    </row>
    <row r="10">
      <c r="A10" s="6" t="inlineStr">
        <is>
          <t>Rates change. Check the update page before you rely on these.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" customWidth="1" min="3" max="3"/>
    <col width="13" customWidth="1" min="4" max="4"/>
    <col width="13" customWidth="1" min="5" max="5"/>
    <col width="10" customWidth="1" min="6" max="6"/>
  </cols>
  <sheetData>
    <row r="1" ht="28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 cost</t>
        </is>
      </c>
      <c r="E1" s="1" t="inlineStr">
        <is>
          <t>Total</t>
        </is>
      </c>
      <c r="F1" s="1" t="inlineStr">
        <is>
          <t>Booked?</t>
        </is>
      </c>
    </row>
    <row r="2">
      <c r="A2" t="inlineStr">
        <is>
          <t>Flights</t>
        </is>
      </c>
      <c r="B2" t="inlineStr">
        <is>
          <t>Mainland return, per person</t>
        </is>
      </c>
      <c r="C2" t="n">
        <v>2</v>
      </c>
      <c r="D2" s="2" t="n">
        <v>900</v>
      </c>
      <c r="E2" s="2">
        <f>C2*D2</f>
        <v/>
      </c>
      <c r="F2" s="7" t="inlineStr">
        <is>
          <t>No</t>
        </is>
      </c>
    </row>
    <row r="3">
      <c r="A3" t="inlineStr">
        <is>
          <t>Flights</t>
        </is>
      </c>
      <c r="B3" t="inlineStr">
        <is>
          <t>Inter-island hop, per person</t>
        </is>
      </c>
      <c r="C3" t="n">
        <v>0</v>
      </c>
      <c r="D3" s="2" t="n">
        <v>120</v>
      </c>
      <c r="E3" s="2">
        <f>C3*D3</f>
        <v/>
      </c>
      <c r="F3" s="7" t="inlineStr">
        <is>
          <t>No</t>
        </is>
      </c>
    </row>
    <row r="4">
      <c r="A4" t="inlineStr">
        <is>
          <t>Car</t>
        </is>
      </c>
      <c r="B4" t="inlineStr">
        <is>
          <t>Rental, per day</t>
        </is>
      </c>
      <c r="C4" t="n">
        <v>7</v>
      </c>
      <c r="D4" s="2" t="n">
        <v>75</v>
      </c>
      <c r="E4" s="2">
        <f>C4*D4</f>
        <v/>
      </c>
      <c r="F4" s="7" t="inlineStr">
        <is>
          <t>No</t>
        </is>
      </c>
    </row>
    <row r="5">
      <c r="A5" t="inlineStr">
        <is>
          <t>Car</t>
        </is>
      </c>
      <c r="B5" t="inlineStr">
        <is>
          <t>Fuel</t>
        </is>
      </c>
      <c r="C5" t="n">
        <v>1</v>
      </c>
      <c r="D5" s="2" t="n">
        <v>80</v>
      </c>
      <c r="E5" s="2">
        <f>C5*D5</f>
        <v/>
      </c>
      <c r="F5" s="7" t="inlineStr">
        <is>
          <t>No</t>
        </is>
      </c>
    </row>
    <row r="6">
      <c r="A6" t="inlineStr">
        <is>
          <t>Food</t>
        </is>
      </c>
      <c r="B6" t="inlineStr">
        <is>
          <t>Groceries</t>
        </is>
      </c>
      <c r="C6" t="n">
        <v>1</v>
      </c>
      <c r="D6" s="2" t="n">
        <v>250</v>
      </c>
      <c r="E6" s="2">
        <f>C6*D6</f>
        <v/>
      </c>
      <c r="F6" s="7" t="inlineStr">
        <is>
          <t>No</t>
        </is>
      </c>
    </row>
    <row r="7">
      <c r="A7" t="inlineStr">
        <is>
          <t>Food</t>
        </is>
      </c>
      <c r="B7" t="inlineStr">
        <is>
          <t>Dinners out</t>
        </is>
      </c>
      <c r="C7" t="n">
        <v>7</v>
      </c>
      <c r="D7" s="2" t="n">
        <v>90</v>
      </c>
      <c r="E7" s="2">
        <f>C7*D7</f>
        <v/>
      </c>
      <c r="F7" s="7" t="inlineStr">
        <is>
          <t>No</t>
        </is>
      </c>
    </row>
    <row r="8">
      <c r="A8" t="inlineStr">
        <is>
          <t>Activities</t>
        </is>
      </c>
      <c r="B8" t="inlineStr">
        <is>
          <t>Snorkel or boat trip</t>
        </is>
      </c>
      <c r="C8" t="n">
        <v>2</v>
      </c>
      <c r="D8" s="2" t="n">
        <v>140</v>
      </c>
      <c r="E8" s="2">
        <f>C8*D8</f>
        <v/>
      </c>
      <c r="F8" s="7" t="inlineStr">
        <is>
          <t>No</t>
        </is>
      </c>
    </row>
    <row r="9">
      <c r="A9" t="inlineStr">
        <is>
          <t>Activities</t>
        </is>
      </c>
      <c r="B9" t="inlineStr">
        <is>
          <t>Luau</t>
        </is>
      </c>
      <c r="C9" t="n">
        <v>2</v>
      </c>
      <c r="D9" s="2" t="n">
        <v>150</v>
      </c>
      <c r="E9" s="2">
        <f>C9*D9</f>
        <v/>
      </c>
      <c r="F9" s="7" t="inlineStr">
        <is>
          <t>No</t>
        </is>
      </c>
    </row>
    <row r="10">
      <c r="A10" t="inlineStr">
        <is>
          <t>Fees</t>
        </is>
      </c>
      <c r="B10" t="inlineStr">
        <is>
          <t>Park entry and reservations</t>
        </is>
      </c>
      <c r="C10" t="n">
        <v>1</v>
      </c>
      <c r="D10" s="2" t="n">
        <v>60</v>
      </c>
      <c r="E10" s="2">
        <f>C10*D10</f>
        <v/>
      </c>
      <c r="F10" s="7" t="inlineStr">
        <is>
          <t>No</t>
        </is>
      </c>
    </row>
    <row r="11">
      <c r="A11" t="inlineStr">
        <is>
          <t>Other</t>
        </is>
      </c>
      <c r="B11" t="inlineStr">
        <is>
          <t>Contingency</t>
        </is>
      </c>
      <c r="C11" t="n">
        <v>1</v>
      </c>
      <c r="D11" s="2" t="n">
        <v>300</v>
      </c>
      <c r="E11" s="2">
        <f>C11*D11</f>
        <v/>
      </c>
      <c r="F11" s="7" t="inlineStr">
        <is>
          <t>No</t>
        </is>
      </c>
    </row>
    <row r="13">
      <c r="A13" s="4" t="inlineStr">
        <is>
          <t>SUBTOTAL</t>
        </is>
      </c>
      <c r="E13" s="5">
        <f>SUM(E2:E11)</f>
        <v/>
      </c>
    </row>
    <row r="14">
      <c r="A14" s="8" t="inlineStr">
        <is>
          <t>PLUS LODGING</t>
        </is>
      </c>
      <c r="E14" s="9">
        <f>Lodging!G6</f>
        <v/>
      </c>
    </row>
    <row r="15">
      <c r="A15" s="10" t="inlineStr">
        <is>
          <t>GRAND TOTAL</t>
        </is>
      </c>
      <c r="E15" s="11">
        <f>E13+E14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9" customWidth="1" min="3" max="3"/>
    <col width="15" customWidth="1" min="4" max="4"/>
    <col width="15" customWidth="1" min="5" max="5"/>
    <col width="17" customWidth="1" min="6" max="6"/>
    <col width="9" customWidth="1" min="7" max="7"/>
  </cols>
  <sheetData>
    <row r="1" ht="28" customHeight="1">
      <c r="A1" s="1" t="inlineStr">
        <is>
          <t>What</t>
        </is>
      </c>
      <c r="B1" s="1" t="inlineStr">
        <is>
          <t>Opens</t>
        </is>
      </c>
      <c r="C1" s="1" t="inlineStr">
        <is>
          <t>Release time (HST)</t>
        </is>
      </c>
      <c r="D1" s="1" t="inlineStr">
        <is>
          <t>Your visit date</t>
        </is>
      </c>
      <c r="E1" s="1" t="inlineStr">
        <is>
          <t>Book on</t>
        </is>
      </c>
      <c r="F1" s="1" t="inlineStr">
        <is>
          <t>Your local time</t>
        </is>
      </c>
      <c r="G1" s="1" t="inlineStr">
        <is>
          <t>Done?</t>
        </is>
      </c>
    </row>
    <row r="2">
      <c r="A2" s="12" t="inlineStr">
        <is>
          <t>Kalalau camping permit</t>
        </is>
      </c>
      <c r="B2" s="12" t="inlineStr">
        <is>
          <t>90 days</t>
        </is>
      </c>
      <c r="C2" s="12" t="inlineStr">
        <is>
          <t>Check site</t>
        </is>
      </c>
      <c r="D2" s="13" t="n"/>
      <c r="E2" s="14">
        <f>IF(D2="","",D2-90)</f>
        <v/>
      </c>
      <c r="F2" s="15" t="inlineStr">
        <is>
          <t>convert on the day</t>
        </is>
      </c>
      <c r="G2" s="16" t="inlineStr">
        <is>
          <t>No</t>
        </is>
      </c>
    </row>
    <row r="3">
      <c r="A3" s="12" t="inlineStr">
        <is>
          <t>Haleakalā sunrise</t>
        </is>
      </c>
      <c r="B3" s="12" t="inlineStr">
        <is>
          <t>60 days</t>
        </is>
      </c>
      <c r="C3" s="12" t="inlineStr">
        <is>
          <t>7:00 AM</t>
        </is>
      </c>
      <c r="D3" s="13" t="n"/>
      <c r="E3" s="14">
        <f>IF(D3="","",D3-60)</f>
        <v/>
      </c>
      <c r="F3" s="15" t="inlineStr">
        <is>
          <t>convert on the day</t>
        </is>
      </c>
      <c r="G3" s="16" t="inlineStr">
        <is>
          <t>No</t>
        </is>
      </c>
    </row>
    <row r="4">
      <c r="A4" s="12" t="inlineStr">
        <is>
          <t>USS Arizona Memorial</t>
        </is>
      </c>
      <c r="B4" s="12" t="inlineStr">
        <is>
          <t>8 weeks</t>
        </is>
      </c>
      <c r="C4" s="12" t="inlineStr">
        <is>
          <t>3:00 PM</t>
        </is>
      </c>
      <c r="D4" s="13" t="n"/>
      <c r="E4" s="14">
        <f>IF(D4="","",D4-56)</f>
        <v/>
      </c>
      <c r="F4" s="15" t="inlineStr">
        <is>
          <t>convert on the day</t>
        </is>
      </c>
      <c r="G4" s="16" t="inlineStr">
        <is>
          <t>No</t>
        </is>
      </c>
    </row>
    <row r="5">
      <c r="A5" s="12" t="inlineStr">
        <is>
          <t>Hāʻena State Park</t>
        </is>
      </c>
      <c r="B5" s="12" t="inlineStr">
        <is>
          <t>30 days</t>
        </is>
      </c>
      <c r="C5" s="12" t="inlineStr">
        <is>
          <t>12:00 AM</t>
        </is>
      </c>
      <c r="D5" s="13" t="n"/>
      <c r="E5" s="14">
        <f>IF(D5="","",D5-30)</f>
        <v/>
      </c>
      <c r="F5" s="15" t="inlineStr">
        <is>
          <t>convert on the day</t>
        </is>
      </c>
      <c r="G5" s="16" t="inlineStr">
        <is>
          <t>No</t>
        </is>
      </c>
    </row>
    <row r="6">
      <c r="A6" s="12" t="inlineStr">
        <is>
          <t>Waiʻānapanapa</t>
        </is>
      </c>
      <c r="B6" s="12" t="inlineStr">
        <is>
          <t>30 days</t>
        </is>
      </c>
      <c r="C6" s="12" t="inlineStr">
        <is>
          <t>12:00 AM</t>
        </is>
      </c>
      <c r="D6" s="13" t="n"/>
      <c r="E6" s="14">
        <f>IF(D6="","",D6-30)</f>
        <v/>
      </c>
      <c r="F6" s="15" t="inlineStr">
        <is>
          <t>convert on the day</t>
        </is>
      </c>
      <c r="G6" s="16" t="inlineStr">
        <is>
          <t>No</t>
        </is>
      </c>
    </row>
    <row r="7">
      <c r="A7" s="12" t="inlineStr">
        <is>
          <t>Diamond Head</t>
        </is>
      </c>
      <c r="B7" s="12" t="inlineStr">
        <is>
          <t>30 days</t>
        </is>
      </c>
      <c r="C7" s="12" t="inlineStr">
        <is>
          <t>Check site</t>
        </is>
      </c>
      <c r="D7" s="13" t="n"/>
      <c r="E7" s="14">
        <f>IF(D7="","",D7-30)</f>
        <v/>
      </c>
      <c r="F7" s="15" t="inlineStr">
        <is>
          <t>convert on the day</t>
        </is>
      </c>
      <c r="G7" s="16" t="inlineStr">
        <is>
          <t>No</t>
        </is>
      </c>
    </row>
    <row r="8">
      <c r="A8" s="12" t="inlineStr">
        <is>
          <t>ʻĪao Valley</t>
        </is>
      </c>
      <c r="B8" s="12" t="inlineStr">
        <is>
          <t>30 days</t>
        </is>
      </c>
      <c r="C8" s="12" t="inlineStr">
        <is>
          <t>Check site</t>
        </is>
      </c>
      <c r="D8" s="13" t="n"/>
      <c r="E8" s="14">
        <f>IF(D8="","",D8-30)</f>
        <v/>
      </c>
      <c r="F8" s="15" t="inlineStr">
        <is>
          <t>convert on the day</t>
        </is>
      </c>
      <c r="G8" s="16" t="inlineStr">
        <is>
          <t>No</t>
        </is>
      </c>
    </row>
    <row r="9">
      <c r="A9" s="12" t="inlineStr">
        <is>
          <t>Hanauma Bay</t>
        </is>
      </c>
      <c r="B9" s="12" t="inlineStr">
        <is>
          <t>2 days</t>
        </is>
      </c>
      <c r="C9" s="12" t="inlineStr">
        <is>
          <t>7:00 AM</t>
        </is>
      </c>
      <c r="D9" s="13" t="n"/>
      <c r="E9" s="14">
        <f>IF(D9="","",D9-2)</f>
        <v/>
      </c>
      <c r="F9" s="15" t="inlineStr">
        <is>
          <t>convert on the day</t>
        </is>
      </c>
      <c r="G9" s="16" t="inlineStr">
        <is>
          <t>No</t>
        </is>
      </c>
    </row>
    <row r="11">
      <c r="A11" s="17" t="inlineStr">
        <is>
          <t>Enter your visit date in the yellow column. Book-on dates calculate automatically.</t>
        </is>
      </c>
    </row>
    <row r="12">
      <c r="A12" s="18" t="inlineStr">
        <is>
          <t>Hawaii has NO daylight saving. Convert to your local time on the day, not from memory.</t>
        </is>
      </c>
    </row>
    <row r="13">
      <c r="A13" s="6" t="inlineStr">
        <is>
          <t>Verify every window on the official site. These systems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2026-08-14T12:20:26Z</dcterms:created>
  <dcterms:modified xmlns:dcterms="http://purl.org/dc/terms/" xmlns:xsi="http://www.w3.org/2001/XMLSchema-instance" xsi:type="dcterms:W3CDTF">2026-08-14T12:20:26Z</dcterms:modified>
</cp:coreProperties>
</file>